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d3a3a0fae34c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et 2026" sheetId="1" r:id="R7f3abe4dcfe44b00"/>
    <x:sheet xmlns:r="http://schemas.openxmlformats.org/officeDocument/2006/relationships" name="Sheet2" sheetId="2" r:id="R28ff336cc4c24817"/>
    <x:sheet xmlns:r="http://schemas.openxmlformats.org/officeDocument/2006/relationships" name="Sheet3" sheetId="3" r:id="R745a7c225a534d79"/>
    <x:sheet xmlns:r="http://schemas.openxmlformats.org/officeDocument/2006/relationships" name="Budget Template" sheetId="4" r:id="R4236c71c0fcd4be0"/>
  </x:sheets>
</x:workbook>
</file>

<file path=xl/sharedStrings.xml><?xml version="1.0" encoding="utf-8"?>
<x:sst xmlns:x="http://schemas.openxmlformats.org/spreadsheetml/2006/main">
  <x:si>
    <x:t xml:space="preserve">Income</x:t>
  </x:si>
  <x:si>
    <x:t xml:space="preserve">Perkiraan pengeluaran</x:t>
  </x:si>
  <x:si>
    <x:t xml:space="preserve">Perkiraan tabungan</x:t>
  </x:si>
  <x:si>
    <x:t xml:space="preserve">Perkiraan sisa saldo</x:t>
  </x:si>
  <x:si>
    <x:t xml:space="preserve">Maret 2026</x:t>
  </x:si>
  <x:si>
    <x:t xml:space="preserve">Dapur</x:t>
  </x:si>
  <x:si>
    <x:t xml:space="preserve">Keterangan</x:t>
  </x:si>
  <x:si>
    <x:t xml:space="preserve">Tanggal</x:t>
  </x:si>
  <x:si>
    <x:t xml:space="preserve">Kredit</x:t>
  </x:si>
  <x:si>
    <x:t xml:space="preserve">Debit</x:t>
  </x:si>
  <x:si>
    <x:t xml:space="preserve">Alfagift</x:t>
  </x:si>
  <x:si>
    <x:t xml:space="preserve">Pasar</x:t>
  </x:si>
  <x:si>
    <x:t xml:space="preserve">Galon</x:t>
  </x:si>
  <x:si>
    <x:t xml:space="preserve">Jajan Mama</x:t>
  </x:si>
  <x:si>
    <x:t xml:space="preserve">Netflix</x:t>
  </x:si>
  <x:si>
    <x:t xml:space="preserve">Anak</x:t>
  </x:si>
  <x:si>
    <x:t xml:space="preserve">Pampers</x:t>
  </x:si>
  <x:si>
    <x:t xml:space="preserve">Orang Tua Mama</x:t>
  </x:si>
  <x:si>
    <x:t xml:space="preserve">Bensin + tol</x:t>
  </x:si>
  <x:si>
    <x:t xml:space="preserve">Bp</x:t>
  </x:si>
  <x:si>
    <x:t xml:space="preserve">ART</x:t>
  </x:si>
  <x:si>
    <x:t xml:space="preserve">Jajan Bareng</x:t>
  </x:si>
  <x:si>
    <x:t xml:space="preserve">Seblak</x:t>
  </x:si>
  <x:si>
    <x:t xml:space="preserve">Warkop</x:t>
  </x:si>
  <x:si>
    <x:t xml:space="preserve">Bubur</x:t>
  </x:si>
  <x:si>
    <x:t xml:space="preserve">Ketoprak</x:t>
  </x:si>
</x:sst>
</file>

<file path=xl/styles.xml><?xml version="1.0" encoding="utf-8"?>
<x:styleSheet xmlns:x="http://schemas.openxmlformats.org/spreadsheetml/2006/main">
  <x:numFmts count="7">
    <x:numFmt numFmtId="44" formatCode="_(&quot;$&quot;* #,##0.00_);_(&quot;$&quot;* \(#,##0.00\);_(&quot;$&quot;* &quot;-&quot;??_);_(@_)"/>
    <x:numFmt numFmtId="176" formatCode="_(* #,##0.0_);_(* \(#,##0.0\);_(* &quot;-&quot;??_);_(@_)"/>
    <x:numFmt numFmtId="42" formatCode="_(&quot;$&quot;* #,##0_);_(&quot;$&quot;* \(#,##0\);_(&quot;$&quot;* &quot;-&quot;_);_(@_)"/>
    <x:numFmt numFmtId="177" formatCode="_ * #,##0_ ;_ * \-#,##0_ ;_ * &quot;-&quot;_ ;_ @_ "/>
    <x:numFmt numFmtId="178" formatCode="_ * #,##0.00_ ;_ * \-#,##0.00_ ;_ * &quot;-&quot;??_ ;_ @_ "/>
    <x:numFmt numFmtId="200" formatCode="#,##0"/>
    <x:numFmt numFmtId="201" formatCode="0%"/>
  </x:numFmts>
  <x:fonts count="23">
    <x:font>
      <x:sz val="11"/>
      <x:color theme="1"/>
      <x:name val="宋体"/>
    </x:font>
    <x:font>
      <x:b/>
      <x:sz val="11"/>
      <x:color theme="1"/>
      <x:name val="宋体"/>
    </x:font>
    <x:font>
      <x:b/>
      <x:sz val="11"/>
      <x:color rgb="FFFFFF"/>
      <x:name val="宋体"/>
    </x:font>
    <x:font>
      <x:b/>
      <x:sz val="13"/>
      <x:color theme="3"/>
      <x:name val="宋体"/>
    </x:font>
    <x:font>
      <x:sz val="11"/>
      <x:color rgb="800080"/>
      <x:name val="宋体"/>
    </x:font>
    <x:font>
      <x:sz val="11"/>
      <x:color theme="0"/>
      <x:name val="宋体"/>
    </x:font>
    <x:font>
      <x:b/>
      <x:sz val="11"/>
      <x:color theme="3"/>
      <x:name val="宋体"/>
    </x:font>
    <x:font>
      <x:sz val="11"/>
      <x:color theme="1"/>
      <x:name val="宋体"/>
    </x:font>
    <x:font>
      <x:b/>
      <x:sz val="15"/>
      <x:color theme="3"/>
      <x:name val="宋体"/>
    </x:font>
    <x:font>
      <x:sz val="11"/>
      <x:color rgb="006100"/>
      <x:name val="宋体"/>
    </x:font>
    <x:font>
      <x:sz val="11"/>
      <x:color rgb="FA7D00"/>
      <x:name val="宋体"/>
    </x:font>
    <x:font>
      <x:b/>
      <x:sz val="11"/>
      <x:color rgb="FA7D00"/>
      <x:name val="宋体"/>
    </x:font>
    <x:font>
      <x:b/>
      <x:sz val="18"/>
      <x:color theme="3"/>
      <x:name val="宋体"/>
    </x:font>
    <x:font>
      <x:b/>
      <x:sz val="11"/>
      <x:color rgb="3F3F3F"/>
      <x:name val="宋体"/>
    </x:font>
    <x:font>
      <x:sz val="11"/>
      <x:color rgb="0000FF"/>
      <x:name val="宋体"/>
    </x:font>
    <x:font>
      <x:sz val="11"/>
      <x:color rgb="9C6500"/>
      <x:name val="宋体"/>
    </x:font>
    <x:font>
      <x:sz val="11"/>
      <x:color rgb="FF0000"/>
      <x:name val="宋体"/>
    </x:font>
    <x:font>
      <x:i/>
      <x:sz val="11"/>
      <x:color rgb="7F7F7F"/>
      <x:name val="宋体"/>
    </x:font>
    <x:font>
      <x:b/>
      <x:sz val="11"/>
      <x:color theme="1"/>
      <x:name val="宋体"/>
    </x:font>
    <x:font>
      <x:sz val="11"/>
      <x:color rgb="9C0006"/>
      <x:name val="宋体"/>
    </x:font>
    <x:font>
      <x:sz val="11"/>
      <x:color rgb="3F3F76"/>
      <x:name val="宋体"/>
    </x:font>
    <x:font>
      <x:b/>
      <x:sz val="14"/>
      <x:color rgb="FFFFFF"/>
      <x:name val="宋体"/>
    </x:font>
    <x:font>
      <x:i/>
      <x:sz val="11"/>
      <x:color rgb="1F1F1F"/>
      <x:name val="宋体"/>
    </x:font>
  </x:fonts>
  <x:fills count="39">
    <x:fill>
      <x:patternFill patternType="none"/>
    </x:fill>
    <x:fill>
      <x:patternFill patternType="gray125"/>
    </x:fill>
    <x:fill>
      <x:patternFill patternType="solid">
        <x:fgColor rgb="FFFF00"/>
      </x:patternFill>
    </x:fill>
    <x:fill>
      <x:patternFill patternType="solid">
        <x:fgColor rgb="A5A5A5"/>
      </x:patternFill>
    </x:fill>
    <x:fill>
      <x:patternFill patternType="solid">
        <x:fgColor theme="4" tint="0.39998"/>
      </x:patternFill>
    </x:fill>
    <x:fill>
      <x:patternFill patternType="solid">
        <x:fgColor theme="4" tint="0.79998"/>
      </x:patternFill>
    </x:fill>
    <x:fill>
      <x:patternFill patternType="solid">
        <x:fgColor theme="8" tint="0.39998"/>
      </x:patternFill>
    </x:fill>
    <x:fill>
      <x:patternFill patternType="solid">
        <x:fgColor rgb="C6EFCE"/>
      </x:patternFill>
    </x:fill>
    <x:fill>
      <x:patternFill patternType="solid">
        <x:fgColor rgb="F2F2F2"/>
      </x:patternFill>
    </x:fill>
    <x:fill>
      <x:patternFill patternType="solid">
        <x:fgColor theme="7"/>
      </x:patternFill>
    </x:fill>
    <x:fill>
      <x:patternFill patternType="solid">
        <x:fgColor theme="6" tint="0.59999"/>
      </x:patternFill>
    </x:fill>
    <x:fill>
      <x:patternFill patternType="solid">
        <x:fgColor rgb="FFFFCC"/>
      </x:patternFill>
    </x:fill>
    <x:fill>
      <x:patternFill patternType="solid">
        <x:fgColor theme="9" tint="0.39998"/>
      </x:patternFill>
    </x:fill>
    <x:fill>
      <x:patternFill patternType="solid">
        <x:fgColor theme="6" tint="0.79998"/>
      </x:patternFill>
    </x:fill>
    <x:fill>
      <x:patternFill patternType="solid">
        <x:fgColor rgb="FFEB9C"/>
      </x:patternFill>
    </x:fill>
    <x:fill>
      <x:patternFill patternType="solid">
        <x:fgColor theme="6" tint="0.39998"/>
      </x:patternFill>
    </x:fill>
    <x:fill>
      <x:patternFill patternType="solid">
        <x:fgColor theme="8" tint="0.79998"/>
      </x:patternFill>
    </x:fill>
    <x:fill>
      <x:patternFill patternType="solid">
        <x:fgColor theme="4" tint="0.59999"/>
      </x:patternFill>
    </x:fill>
    <x:fill>
      <x:patternFill patternType="solid">
        <x:fgColor theme="6"/>
      </x:patternFill>
    </x:fill>
    <x:fill>
      <x:patternFill patternType="solid">
        <x:fgColor theme="5"/>
      </x:patternFill>
    </x:fill>
    <x:fill>
      <x:patternFill patternType="solid">
        <x:fgColor theme="9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9" tint="0.79998"/>
      </x:patternFill>
    </x:fill>
    <x:fill>
      <x:patternFill patternType="solid">
        <x:fgColor theme="8"/>
      </x:patternFill>
    </x:fill>
    <x:fill>
      <x:patternFill patternType="solid">
        <x:fgColor theme="4"/>
      </x:patternFill>
    </x:fill>
    <x:fill>
      <x:patternFill patternType="solid">
        <x:fgColor theme="7" tint="0.79998"/>
      </x:patternFill>
    </x:fill>
    <x:fill>
      <x:patternFill patternType="solid">
        <x:fgColor rgb="FFC7CE"/>
      </x:patternFill>
    </x:fill>
    <x:fill>
      <x:patternFill patternType="solid">
        <x:fgColor theme="7" tint="0.39998"/>
      </x:patternFill>
    </x:fill>
    <x:fill>
      <x:patternFill patternType="solid">
        <x:fgColor theme="8" tint="0.59999"/>
      </x:patternFill>
    </x:fill>
    <x:fill>
      <x:patternFill patternType="solid">
        <x:fgColor theme="7" tint="0.59999"/>
      </x:patternFill>
    </x:fill>
    <x:fill>
      <x:patternFill patternType="solid">
        <x:fgColor theme="9" tint="0.59999"/>
      </x:patternFill>
    </x:fill>
    <x:fill>
      <x:patternFill patternType="solid">
        <x:fgColor rgb="FFCC99"/>
      </x:patternFill>
    </x:fill>
    <x:fill>
      <x:patternFill patternType="solid">
        <x:fgColor theme="5" tint="0.39998"/>
      </x:patternFill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5B9BD5"/>
      </x:patternFill>
    </x:fill>
    <x:fill>
      <x:patternFill patternType="solid">
        <x:fgColor rgb="4472C4"/>
      </x:patternFill>
    </x:fill>
    <x:fill>
      <x:patternFill patternType="solid">
        <x:fgColor rgb="D9EAD3"/>
      </x:patternFill>
    </x:fill>
  </x:fills>
  <x:borders count="21">
    <x:border/>
    <x:border>
      <x:left style="thin">
        <x:color auto="1"/>
      </x:left>
      <x:top style="thin">
        <x:color auto="1"/>
      </x:top>
      <x:bottom style="thin">
        <x:color auto="1"/>
      </x:bottom>
    </x:border>
    <x:border>
      <x:left style="thin">
        <x:color auto="1"/>
      </x:left>
    </x:border>
    <x:border>
      <x:left style="thin">
        <x:color auto="1"/>
      </x:left>
      <x:bottom style="thin">
        <x:color auto="1"/>
      </x:bottom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top style="thin">
        <x:color auto="1"/>
      </x:top>
    </x:border>
    <x:border>
      <x:left style="double">
        <x:color rgb="3F3F3F"/>
      </x:left>
      <x:right style="double">
        <x:color rgb="3F3F3F"/>
      </x:right>
      <x:top style="double">
        <x:color rgb="3F3F3F"/>
      </x:top>
      <x:bottom style="double">
        <x:color rgb="3F3F3F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bottom style="double">
        <x:color rgb="FF8001"/>
      </x:bottom>
    </x:border>
    <x:border>
      <x:left style="thin">
        <x:color rgb="7F7F7F"/>
      </x:left>
      <x:right style="thin">
        <x:color rgb="7F7F7F"/>
      </x:right>
      <x:top style="thin">
        <x:color rgb="7F7F7F"/>
      </x:top>
      <x:bottom style="thin">
        <x:color rgb="7F7F7F"/>
      </x:bottom>
    </x:border>
    <x:border>
      <x:left style="thin">
        <x:color rgb="B2B2B2"/>
      </x:left>
      <x:right style="thin">
        <x:color rgb="B2B2B2"/>
      </x:right>
      <x:top style="thin">
        <x:color rgb="B2B2B2"/>
      </x:top>
      <x:bottom style="thin">
        <x:color rgb="B2B2B2"/>
      </x:bottom>
    </x:border>
    <x:border>
      <x:left style="thin">
        <x:color rgb="3F3F3F"/>
      </x:left>
      <x:right style="thin">
        <x:color rgb="3F3F3F"/>
      </x:right>
      <x:top style="thin">
        <x:color rgb="3F3F3F"/>
      </x:top>
      <x:bottom style="thin">
        <x:color rgb="3F3F3F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 applyBorder="0">
      <x:alignment vertical="center"/>
    </x:xf>
    <x:xf numFmtId="0" fontId="5" fillId="12" borderId="0" applyNumberFormat="0" applyBorder="0" applyAlignment="0" applyProtection="0">
      <x:alignment vertical="center"/>
    </x:xf>
    <x:xf numFmtId="0" fontId="7" fillId="31" borderId="0" applyNumberFormat="0" applyBorder="0" applyAlignment="0" applyProtection="0">
      <x:alignment vertical="center"/>
    </x:xf>
    <x:xf numFmtId="0" fontId="5" fillId="6" borderId="0" applyNumberFormat="0" applyBorder="0" applyAlignment="0" applyProtection="0">
      <x:alignment vertical="center"/>
    </x:xf>
    <x:xf numFmtId="0" fontId="5" fillId="20" borderId="0" applyNumberFormat="0" applyBorder="0" applyAlignment="0" applyProtection="0">
      <x:alignment vertical="center"/>
    </x:xf>
    <x:xf numFmtId="0" fontId="7" fillId="29" borderId="0" applyNumberFormat="0" applyBorder="0" applyAlignment="0" applyProtection="0">
      <x:alignment vertical="center"/>
    </x:xf>
    <x:xf numFmtId="0" fontId="7" fillId="16" borderId="0" applyNumberFormat="0" applyBorder="0" applyAlignment="0" applyProtection="0">
      <x:alignment vertical="center"/>
    </x:xf>
    <x:xf numFmtId="0" fontId="5" fillId="28" borderId="0" applyNumberFormat="0" applyBorder="0" applyAlignment="0" applyProtection="0">
      <x:alignment vertical="center"/>
    </x:xf>
    <x:xf numFmtId="0" fontId="5" fillId="24" borderId="0" applyNumberFormat="0" applyBorder="0" applyAlignment="0" applyProtection="0">
      <x:alignment vertical="center"/>
    </x:xf>
    <x:xf numFmtId="0" fontId="7" fillId="30" borderId="0" applyNumberFormat="0" applyBorder="0" applyAlignment="0" applyProtection="0">
      <x:alignment vertical="center"/>
    </x:xf>
    <x:xf numFmtId="0" fontId="5" fillId="9" borderId="0" applyNumberFormat="0" applyBorder="0" applyAlignment="0" applyProtection="0">
      <x:alignment vertical="center"/>
    </x:xf>
    <x:xf numFmtId="0" fontId="10" fillId="0" borderId="16" applyNumberFormat="0" applyFill="0" applyAlignment="0" applyProtection="0">
      <x:alignment vertical="center"/>
    </x:xf>
    <x:xf numFmtId="0" fontId="7" fillId="10" borderId="0" applyNumberFormat="0" applyBorder="0" applyAlignment="0" applyProtection="0">
      <x:alignment vertical="center"/>
    </x:xf>
    <x:xf numFmtId="0" fontId="5" fillId="33" borderId="0" applyNumberFormat="0" applyBorder="0" applyAlignment="0" applyProtection="0">
      <x:alignment vertical="center"/>
    </x:xf>
    <x:xf numFmtId="0" fontId="5" fillId="18" borderId="0" applyNumberFormat="0" applyBorder="0" applyAlignment="0" applyProtection="0">
      <x:alignment vertical="center"/>
    </x:xf>
    <x:xf numFmtId="0" fontId="7" fillId="22" borderId="0" applyNumberFormat="0" applyBorder="0" applyAlignment="0" applyProtection="0">
      <x:alignment vertical="center"/>
    </x:xf>
    <x:xf numFmtId="0" fontId="7" fillId="21" borderId="0" applyNumberFormat="0" applyBorder="0" applyAlignment="0" applyProtection="0">
      <x:alignment vertical="center"/>
    </x:xf>
    <x:xf numFmtId="0" fontId="5" fillId="19" borderId="0" applyNumberFormat="0" applyBorder="0" applyAlignment="0" applyProtection="0">
      <x:alignment vertical="center"/>
    </x:xf>
    <x:xf numFmtId="0" fontId="7" fillId="17" borderId="0" applyNumberFormat="0" applyBorder="0" applyAlignment="0" applyProtection="0">
      <x:alignment vertical="center"/>
    </x:xf>
    <x:xf numFmtId="0" fontId="5" fillId="25" borderId="0" applyNumberFormat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0" fontId="15" fillId="14" borderId="0" applyNumberFormat="0" applyBorder="0" applyAlignment="0" applyProtection="0">
      <x:alignment vertical="center"/>
    </x:xf>
    <x:xf numFmtId="0" fontId="5" fillId="4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7" fillId="26" borderId="0" applyNumberFormat="0" applyBorder="0" applyAlignment="0" applyProtection="0">
      <x:alignment vertical="center"/>
    </x:xf>
    <x:xf numFmtId="0" fontId="18" fillId="0" borderId="20" applyNumberFormat="0" applyFill="0" applyAlignment="0" applyProtection="0">
      <x:alignment vertical="center"/>
    </x:xf>
    <x:xf numFmtId="0" fontId="13" fillId="8" borderId="19" applyNumberFormat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0" fontId="7" fillId="13" borderId="0" applyNumberFormat="0" applyBorder="0" applyAlignment="0" applyProtection="0">
      <x:alignment vertical="center"/>
    </x:xf>
    <x:xf numFmtId="0" fontId="0" fillId="11" borderId="18" applyNumberFormat="0" applyFont="0" applyAlignment="0" applyProtection="0">
      <x:alignment vertical="center"/>
    </x:xf>
    <x:xf numFmtId="0" fontId="20" fillId="32" borderId="17" applyNumberFormat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11" fillId="8" borderId="17" applyNumberFormat="0" applyAlignment="0" applyProtection="0">
      <x:alignment vertical="center"/>
    </x:xf>
    <x:xf numFmtId="0" fontId="9" fillId="7" borderId="0" applyNumberFormat="0" applyBorder="0" applyAlignment="0" applyProtection="0">
      <x:alignment vertical="center"/>
    </x:xf>
    <x:xf numFmtId="0" fontId="6" fillId="0" borderId="15" applyNumberFormat="0" applyFill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5" fillId="15" borderId="0" applyNumberFormat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8" fillId="0" borderId="14" applyNumberFormat="0" applyFill="0" applyAlignment="0" applyProtection="0">
      <x:alignment vertical="center"/>
    </x:xf>
    <x:xf numFmtId="0" fontId="7" fillId="23" borderId="0" applyNumberFormat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7" fillId="5" borderId="0" applyNumberFormat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3" fillId="0" borderId="14" applyNumberFormat="0" applyFill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0" fontId="2" fillId="3" borderId="13" applyNumberFormat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</x:cellStyleXfs>
  <x:cellXfs count="64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176" fontId="0" fillId="0" borderId="0" xfId="0" applyNumberFormat="1" applyAlignment="1">
      <x:alignment horizontal="center" vertical="center"/>
    </x:xf>
    <x:xf numFmtId="176" fontId="0" fillId="0" borderId="0" xfId="0" applyNumberFormat="1">
      <x:alignment vertical="center"/>
    </x:xf>
    <x:xf numFmtId="176" fontId="1" fillId="2" borderId="0" xfId="0" applyNumberFormat="1" applyFont="1" applyFill="1" applyAlignment="1">
      <x:alignment horizontal="center" vertical="center"/>
    </x:xf>
    <x:xf numFmtId="176" fontId="1" fillId="0" borderId="0" xfId="0" applyNumberFormat="1" applyFont="1" applyFill="1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0" fillId="0" borderId="1" xfId="0" applyBorder="1" applyAlignment="1">
      <x:alignment horizontal="center" vertical="center"/>
    </x:xf>
    <x:xf numFmtId="176" fontId="0" fillId="0" borderId="1" xfId="0" applyNumberFormat="1" applyBorder="1" applyAlignment="1">
      <x:alignment horizontal="center" vertical="center"/>
    </x:xf>
    <x:xf numFmtId="0" fontId="0" fillId="0" borderId="2" xfId="0" applyBorder="1" applyAlignment="1">
      <x:alignment horizontal="center" vertical="center"/>
    </x:xf>
    <x:xf numFmtId="176" fontId="0" fillId="0" borderId="2" xfId="0" applyNumberFormat="1" applyBorder="1" applyAlignment="1">
      <x:alignment horizontal="center" vertical="center"/>
    </x:xf>
    <x:xf numFmtId="16" fontId="0" fillId="0" borderId="2" xfId="0" applyNumberFormat="1" applyBorder="1" applyAlignment="1">
      <x:alignment horizontal="center" vertical="center"/>
    </x:xf>
    <x:xf numFmtId="0" fontId="0" fillId="0" borderId="3" xfId="0" applyBorder="1" applyAlignment="1">
      <x:alignment horizontal="center" vertical="center"/>
    </x:xf>
    <x:xf numFmtId="176" fontId="0" fillId="0" borderId="3" xfId="0" applyNumberFormat="1" applyBorder="1" applyAlignment="1">
      <x:alignment horizontal="center" vertical="center"/>
    </x:xf>
    <x:xf numFmtId="0" fontId="0" fillId="0" borderId="4" xfId="0" applyBorder="1" applyAlignment="1">
      <x:alignment horizontal="center" vertical="center"/>
    </x:xf>
    <x:xf numFmtId="0" fontId="0" fillId="0" borderId="5" xfId="0" applyBorder="1" applyAlignment="1">
      <x:alignment horizontal="center" vertical="center"/>
    </x:xf>
    <x:xf numFmtId="176" fontId="0" fillId="0" borderId="5" xfId="0" applyNumberFormat="1" applyBorder="1" applyAlignment="1">
      <x:alignment horizontal="center" vertical="center"/>
    </x:xf>
    <x:xf numFmtId="16" fontId="0" fillId="0" borderId="5" xfId="0" applyNumberFormat="1" applyBorder="1" applyAlignment="1">
      <x:alignment horizontal="center" vertical="center"/>
    </x:xf>
    <x:xf numFmtId="0" fontId="0" fillId="0" borderId="6" xfId="0" applyBorder="1" applyAlignment="1">
      <x:alignment horizontal="center" vertical="center"/>
    </x:xf>
    <x:xf numFmtId="0" fontId="0" fillId="0" borderId="7" xfId="0" applyBorder="1" applyAlignment="1">
      <x:alignment horizontal="center" vertical="center"/>
    </x:xf>
    <x:xf numFmtId="176" fontId="0" fillId="0" borderId="7" xfId="0" applyNumberFormat="1" applyBorder="1" applyAlignment="1">
      <x:alignment horizontal="center" vertical="center"/>
    </x:xf>
    <x:xf numFmtId="0" fontId="0" fillId="0" borderId="8" xfId="0" applyBorder="1" applyAlignment="1">
      <x:alignment horizontal="center" vertical="center"/>
    </x:xf>
    <x:xf numFmtId="0" fontId="0" fillId="0" borderId="9" xfId="0" applyBorder="1" applyAlignment="1">
      <x:alignment horizontal="center" vertical="center"/>
    </x:xf>
    <x:xf numFmtId="176" fontId="0" fillId="0" borderId="9" xfId="0" applyNumberFormat="1" applyBorder="1" applyAlignment="1">
      <x:alignment horizontal="center" vertical="center"/>
    </x:xf>
    <x:xf numFmtId="176" fontId="0" fillId="0" borderId="8" xfId="0" applyNumberFormat="1" applyBorder="1" applyAlignment="1">
      <x:alignment horizontal="center" vertical="center"/>
    </x:xf>
    <x:xf numFmtId="176" fontId="0" fillId="0" borderId="10" xfId="0" applyNumberFormat="1" applyBorder="1">
      <x:alignment vertical="center"/>
    </x:xf>
    <x:xf numFmtId="176" fontId="0" fillId="0" borderId="11" xfId="0" applyNumberFormat="1" applyBorder="1">
      <x:alignment vertical="center"/>
    </x:xf>
    <x:xf numFmtId="176" fontId="0" fillId="0" borderId="4" xfId="0" applyNumberFormat="1" applyBorder="1">
      <x:alignment vertical="center"/>
    </x:xf>
    <x:xf numFmtId="176" fontId="0" fillId="0" borderId="6" xfId="0" applyNumberFormat="1" applyBorder="1">
      <x:alignment vertical="center"/>
    </x:xf>
    <x:xf numFmtId="176" fontId="0" fillId="0" borderId="8" xfId="0" applyNumberFormat="1" applyBorder="1">
      <x:alignment vertical="center"/>
    </x:xf>
    <x:xf numFmtId="176" fontId="0" fillId="0" borderId="5" xfId="0" applyNumberFormat="1" applyBorder="1">
      <x:alignment vertical="center"/>
    </x:xf>
    <x:xf numFmtId="176" fontId="0" fillId="0" borderId="7" xfId="0" applyNumberFormat="1" applyBorder="1">
      <x:alignment vertical="center"/>
    </x:xf>
    <x:xf numFmtId="176" fontId="0" fillId="0" borderId="9" xfId="0" applyNumberFormat="1" applyBorder="1">
      <x:alignment vertical="center"/>
    </x:xf>
    <x:xf numFmtId="0" fontId="0" fillId="0" borderId="12" xfId="0" applyBorder="1" applyAlignment="1">
      <x:alignment horizontal="center" vertical="center"/>
    </x:xf>
    <x:xf numFmtId="176" fontId="0" fillId="0" borderId="12" xfId="0" applyNumberFormat="1" applyBorder="1" applyAlignment="1">
      <x:alignment horizontal="center" vertical="center"/>
    </x:xf>
    <x:xf numFmtId="0" fontId="0" fillId="0" borderId="11" xfId="0" applyBorder="1" applyAlignment="1">
      <x:alignment horizontal="center" vertical="center"/>
    </x:xf>
    <x:xf numFmtId="0" fontId="0" fillId="0" borderId="10" xfId="0" applyBorder="1" applyAlignment="1">
      <x:alignment horizontal="center" vertical="center"/>
    </x:xf>
    <x:xf numFmtId="176" fontId="0" fillId="0" borderId="10" xfId="0" applyNumberFormat="1" applyBorder="1" applyAlignment="1">
      <x:alignment horizontal="center" vertical="center"/>
    </x:xf>
    <x:xf numFmtId="0" fontId="0" fillId="34" borderId="0" xfId="0" applyNumberFormat="1" applyFont="1" applyFill="1" applyBorder="1" applyAlignment="1">
      <x:alignment vertical="center"/>
    </x:xf>
    <x:xf numFmtId="0" fontId="21" fillId="34" borderId="0" xfId="0" applyNumberFormat="1" applyFont="1" applyFill="1" applyBorder="1" applyAlignment="1">
      <x:alignment vertical="center"/>
    </x:xf>
    <x:xf numFmtId="0" fontId="21" fillId="34" borderId="0" xfId="0" applyNumberFormat="1" applyFont="1" applyFill="1" applyBorder="1" applyAlignment="1">
      <x:alignment horizontal="center" vertical="center"/>
    </x:xf>
    <x:xf numFmtId="0" fontId="0" fillId="35" borderId="0" xfId="0" applyNumberFormat="1" applyFont="1" applyFill="1" applyBorder="1" applyAlignment="1">
      <x:alignment vertical="center"/>
    </x:xf>
    <x:xf numFmtId="0" fontId="22" fillId="35" borderId="0" xfId="0" applyNumberFormat="1" applyFont="1" applyFill="1" applyBorder="1" applyAlignment="1">
      <x:alignment vertical="center"/>
    </x:xf>
    <x:xf numFmtId="0" fontId="22" fillId="35" borderId="0" xfId="0" applyNumberFormat="1" applyFont="1" applyFill="1" applyBorder="1" applyAlignment="1">
      <x:alignment vertical="center" wrapText="1"/>
    </x:xf>
    <x:xf numFmtId="0" fontId="0" fillId="36" borderId="0" xfId="0" applyNumberFormat="1" applyFont="1" applyFill="1" applyBorder="1" applyAlignment="1">
      <x:alignment vertical="center"/>
    </x:xf>
    <x:xf numFmtId="0" fontId="2" fillId="36" borderId="0" xfId="0" applyNumberFormat="1" applyFont="1" applyFill="1" applyBorder="1" applyAlignment="1">
      <x:alignment vertical="center"/>
    </x:xf>
    <x:xf numFmtId="0" fontId="2" fillId="36" borderId="0" xfId="0" applyNumberFormat="1" applyFont="1" applyFill="1" applyBorder="1" applyAlignment="1">
      <x:alignment horizontal="center" vertical="center"/>
    </x:xf>
    <x:xf numFmtId="0" fontId="0" fillId="37" borderId="0" xfId="0" applyNumberFormat="1" applyFont="1" applyFill="1" applyBorder="1" applyAlignment="1">
      <x:alignment vertical="center"/>
    </x:xf>
    <x:xf numFmtId="0" fontId="2" fillId="37" borderId="0" xfId="0" applyNumberFormat="1" applyFont="1" applyFill="1" applyBorder="1" applyAlignment="1">
      <x:alignment vertical="center"/>
    </x:xf>
    <x:xf numFmtId="0" fontId="2" fillId="37" borderId="0" xfId="0" applyNumberFormat="1" applyFont="1" applyFill="1" applyBorder="1" applyAlignment="1">
      <x:alignment horizontal="center" vertical="center"/>
    </x:xf>
    <x:xf numFmtId="0" fontId="0" fillId="38" borderId="0" xfId="0" applyNumberFormat="1" applyFont="1" applyFill="1" applyBorder="1" applyAlignment="1">
      <x:alignment vertical="center"/>
    </x:xf>
    <x:xf numFmtId="0" fontId="1" fillId="38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1" fillId="38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1" fillId="38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horizontal="right" vertical="center"/>
    </x:xf>
    <x:xf numFmtId="201" fontId="0" fillId="0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horizontal="right" vertical="center"/>
    </x:xf>
    <x:xf numFmtId="200" fontId="1" fillId="38" borderId="0" xfId="0" applyNumberFormat="1" applyFont="1" applyFill="1" applyBorder="1" applyAlignment="1">
      <x:alignment horizontal="right" vertical="center"/>
    </x:xf>
    <x:xf numFmtId="201" fontId="1" fillId="38" borderId="0" xfId="0" applyNumberFormat="1" applyFont="1" applyFill="1" applyBorder="1" applyAlignment="1">
      <x:alignment horizontal="right" vertical="center"/>
    </x:xf>
    <x:xf numFmtId="0" fontId="1" fillId="38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horizontal="center" vertical="center"/>
    </x:xf>
  </x:cellXfs>
  <x:cellStyles count="49">
    <x:cellStyle name="Normal" xfId="0"/>
    <x:cellStyle name="60% - Accent6" xfId="1"/>
    <x:cellStyle name="40% - Accent6" xfId="2"/>
    <x:cellStyle name="60% - Accent5" xfId="3"/>
    <x:cellStyle name="Accent6" xfId="4"/>
    <x:cellStyle name="40% - Accent5" xfId="5"/>
    <x:cellStyle name="20% - Accent5" xfId="6"/>
    <x:cellStyle name="60% - Accent4" xfId="7"/>
    <x:cellStyle name="Accent5" xfId="8"/>
    <x:cellStyle name="40% - Accent4" xfId="9"/>
    <x:cellStyle name="Accent4" xfId="10"/>
    <x:cellStyle name="Linked Cell" xfId="11"/>
    <x:cellStyle name="40% - Accent3" xfId="12"/>
    <x:cellStyle name="60% - Accent2" xfId="13"/>
    <x:cellStyle name="Accent3" xfId="14"/>
    <x:cellStyle name="40% - Accent2" xfId="15"/>
    <x:cellStyle name="20% - Accent2" xfId="16"/>
    <x:cellStyle name="Accent2" xfId="17"/>
    <x:cellStyle name="40% - Accent1" xfId="18"/>
    <x:cellStyle name="Accent1" xfId="19"/>
    <x:cellStyle name="Comma[0]" xfId="20"/>
    <x:cellStyle name="Neutral" xfId="21"/>
    <x:cellStyle name="60% - Accent1" xfId="22"/>
    <x:cellStyle name="Bad" xfId="23"/>
    <x:cellStyle name="20% - Accent4" xfId="24"/>
    <x:cellStyle name="Total" xfId="25"/>
    <x:cellStyle name="Output" xfId="26"/>
    <x:cellStyle name="Currency" xfId="27"/>
    <x:cellStyle name="20% - Accent3" xfId="28"/>
    <x:cellStyle name="Note" xfId="29"/>
    <x:cellStyle name="Input" xfId="30"/>
    <x:cellStyle name="Heading 4" xfId="31"/>
    <x:cellStyle name="Calculation" xfId="32"/>
    <x:cellStyle name="Good" xfId="33"/>
    <x:cellStyle name="Heading 3" xfId="34"/>
    <x:cellStyle name="CExplanatory Text" xfId="35"/>
    <x:cellStyle name="60% - Accent3" xfId="36"/>
    <x:cellStyle name="Currency[0]" xfId="37"/>
    <x:cellStyle name="Heading 1" xfId="38"/>
    <x:cellStyle name="20% - Accent6" xfId="39"/>
    <x:cellStyle name="Title" xfId="40"/>
    <x:cellStyle name="Warning Text" xfId="41"/>
    <x:cellStyle name="20% - Accent1" xfId="42"/>
    <x:cellStyle name="Hyperlink" xfId="43"/>
    <x:cellStyle name="Followed Hyperlink" xfId="44"/>
    <x:cellStyle name="Heading 2" xfId="45"/>
    <x:cellStyle name="Comma" xfId="46"/>
    <x:cellStyle name="Check Cell" xfId="47"/>
    <x:cellStyle name="Percent" xfId="48"/>
  </x:cellStyles>
  <x:dxfs count="2">
    <x:dxf>
      <x:font>
        <x:b/>
        <x:color rgb="9C0006"/>
      </x:font>
      <x:fill>
        <x:patternFill patternType="solid">
          <x:bgColor rgb="F4CCCC"/>
        </x:patternFill>
      </x:fill>
    </x:dxf>
    <x:dxf>
      <x:font>
        <x:b/>
        <x:color rgb="7F6000"/>
      </x:font>
      <x:fill>
        <x:patternFill patternType="solid">
          <x:bgColor rgb="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35de75203b42ad" /><Relationship Type="http://schemas.openxmlformats.org/officeDocument/2006/relationships/theme" Target="/xl/theme/theme1.xml" Id="Rda2431a2efa64658" /><Relationship Type="http://schemas.openxmlformats.org/officeDocument/2006/relationships/sharedStrings" Target="/xl/sharedStrings.xml" Id="Re4ed1edc94ff4b7d" /><Relationship Type="http://schemas.openxmlformats.org/officeDocument/2006/relationships/worksheet" Target="/xl/worksheets/sheet1.xml" Id="R7f3abe4dcfe44b00" /><Relationship Type="http://schemas.openxmlformats.org/officeDocument/2006/relationships/worksheet" Target="/xl/worksheets/sheet2.xml" Id="R28ff336cc4c24817" /><Relationship Type="http://schemas.openxmlformats.org/officeDocument/2006/relationships/worksheet" Target="/xl/worksheets/sheet3.xml" Id="R745a7c225a534d79" /><Relationship Type="http://schemas.openxmlformats.org/officeDocument/2006/relationships/worksheet" Target="/xl/worksheets/sheet4.xml" Id="R4236c71c0fcd4be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e856a9ecf884f6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Budget vs Realisasi</a:t>
            </a:r>
          </a:p>
        </c:rich>
      </c:tx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Ref>
              <c:f>'Budget Template'!$A$11:$A$17</c:f>
              <c:strCache>
                <c:ptCount val="0"/>
              </c:strCache>
            </c:strRef>
          </c:cat>
          <c:val>
            <c:numRef>
              <c:f>'Budget Template'!$B$11:$B$17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Series 2</c:v>
          </c:tx>
          <c:cat>
            <c:strRef>
              <c:f>'Budget Template'!$A$11:$A$17</c:f>
              <c:strCache>
                <c:ptCount val="0"/>
              </c:strCache>
            </c:strRef>
          </c:cat>
          <c:val>
            <c:numRef>
              <c:f>'Budget Template'!$C$11:$C$17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856a9ecf884f6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f175cf734a714bb3" /></Relationships>
</file>

<file path=xl/worksheets/sheet1.xml><?xml version="1.0" encoding="utf-8"?>
<x:worksheet xmlns:x="http://schemas.openxmlformats.org/spreadsheetml/2006/main">
  <x:sheetFormatPr defaultColWidth="9.642857551574707" defaultRowHeight="13.100000381469727"/>
  <x:cols>
    <x:col min="1" max="1" width="6.839285850524902" customWidth="1"/>
    <x:col min="2" max="2" width="19.26785659790039" style="1" customWidth="1"/>
    <x:col min="3" max="3" width="11.651785850524902" style="1" customWidth="1"/>
    <x:col min="4" max="4" width="14.375" style="2" customWidth="0"/>
    <x:col min="5" max="5" width="13.258928298950195" style="2" customWidth="0"/>
    <x:col min="6" max="6" width="13.258928298950195" style="3" customWidth="0"/>
  </x:cols>
  <x:sheetData>
    <x:row r="2">
      <x:c r="B2" s="1" t="s">
        <x:v>0</x:v>
      </x:c>
      <x:c r="D2" s="2">
        <x:v>13790000</x:v>
      </x:c>
    </x:row>
    <x:row r="3">
      <x:c r="B3" s="1" t="s">
        <x:v>1</x:v>
      </x:c>
      <x:c r="D3" s="2" t="n">
        <x:f>D11+D27+D43+D59+D75+D91+D101</x:f>
        <x:v>8000000</x:v>
      </x:c>
    </x:row>
    <x:row r="4">
      <x:c r="B4" s="1" t="s">
        <x:v>2</x:v>
      </x:c>
      <x:c r="D4" s="4" t="n">
        <x:f>D2-D3</x:f>
        <x:v>5790000</x:v>
      </x:c>
    </x:row>
    <x:row r="5">
      <x:c r="B5" s="1" t="s">
        <x:v>3</x:v>
      </x:c>
      <x:c r="D5" s="5" t="n">
        <x:f>D2-E23-E39-E55-E71-E87-E97-E110</x:f>
        <x:v>12737100</x:v>
      </x:c>
    </x:row>
    <x:row r="7">
      <x:c r="B7" s="1" t="s">
        <x:v>4</x:v>
      </x:c>
      <x:c r="F7" s="2"/>
    </x:row>
    <x:row r="9">
      <x:c r="B9" s="6" t="s">
        <x:v>5</x:v>
      </x:c>
      <x:c r="C9" s="6"/>
    </x:row>
    <x:row r="10">
      <x:c r="B10" s="7" t="s">
        <x:v>6</x:v>
      </x:c>
      <x:c r="C10" s="7" t="s">
        <x:v>7</x:v>
      </x:c>
      <x:c r="D10" s="8" t="s">
        <x:v>8</x:v>
      </x:c>
      <x:c r="E10" s="24" t="s">
        <x:v>9</x:v>
      </x:c>
      <x:c r="F10" s="25"/>
    </x:row>
    <x:row r="11">
      <x:c r="B11" s="9"/>
      <x:c r="C11" s="9"/>
      <x:c r="D11" s="10">
        <x:v>2000000</x:v>
      </x:c>
      <x:c r="E11" s="10"/>
      <x:c r="F11" s="26" t="n">
        <x:f>D11</x:f>
        <x:v>2000000</x:v>
      </x:c>
    </x:row>
    <x:row r="12">
      <x:c r="B12" s="9" t="s">
        <x:v>10</x:v>
      </x:c>
      <x:c r="C12" s="11">
        <x:v>46110</x:v>
      </x:c>
      <x:c r="D12" s="10"/>
      <x:c r="E12" s="10">
        <x:v>216900</x:v>
      </x:c>
      <x:c r="F12" s="27" t="n">
        <x:f>F11+D12-E12</x:f>
        <x:v>1783100</x:v>
      </x:c>
    </x:row>
    <x:row r="13">
      <x:c r="B13" s="9" t="s">
        <x:v>11</x:v>
      </x:c>
      <x:c r="C13" s="11">
        <x:v>46110</x:v>
      </x:c>
      <x:c r="D13" s="10"/>
      <x:c r="E13" s="10">
        <x:v>67000</x:v>
      </x:c>
      <x:c r="F13" s="27" t="n">
        <x:f>F12+D13-E13</x:f>
        <x:v>1716100</x:v>
      </x:c>
    </x:row>
    <x:row r="14">
      <x:c r="B14" s="9" t="s">
        <x:v>12</x:v>
      </x:c>
      <x:c r="C14" s="11">
        <x:v>46111</x:v>
      </x:c>
      <x:c r="D14" s="10"/>
      <x:c r="E14" s="10">
        <x:v>38000</x:v>
      </x:c>
      <x:c r="F14" s="27" t="n">
        <x:f t="shared" ref="F14:F22" si="0">F13+D14-E14</x:f>
        <x:v>1678100</x:v>
      </x:c>
    </x:row>
    <x:row r="15">
      <x:c r="B15" s="9"/>
      <x:c r="C15" s="9"/>
      <x:c r="D15" s="10"/>
      <x:c r="E15" s="10"/>
      <x:c r="F15" s="27">
        <x:f t="shared" si="0"/>
        <x:v>1678100</x:v>
      </x:c>
    </x:row>
    <x:row r="16">
      <x:c r="B16" s="9"/>
      <x:c r="C16" s="9"/>
      <x:c r="D16" s="10"/>
      <x:c r="E16" s="10"/>
      <x:c r="F16" s="27">
        <x:f t="shared" si="0"/>
        <x:v>1678100</x:v>
      </x:c>
    </x:row>
    <x:row r="17">
      <x:c r="B17" s="9"/>
      <x:c r="C17" s="9"/>
      <x:c r="D17" s="10"/>
      <x:c r="E17" s="10"/>
      <x:c r="F17" s="27">
        <x:f t="shared" si="0"/>
        <x:v>1678100</x:v>
      </x:c>
    </x:row>
    <x:row r="18">
      <x:c r="B18" s="9"/>
      <x:c r="C18" s="9"/>
      <x:c r="D18" s="10"/>
      <x:c r="E18" s="10"/>
      <x:c r="F18" s="27">
        <x:f t="shared" si="0"/>
        <x:v>1678100</x:v>
      </x:c>
    </x:row>
    <x:row r="19">
      <x:c r="B19" s="9"/>
      <x:c r="C19" s="9"/>
      <x:c r="D19" s="10"/>
      <x:c r="E19" s="10"/>
      <x:c r="F19" s="27">
        <x:f t="shared" si="0"/>
        <x:v>1678100</x:v>
      </x:c>
    </x:row>
    <x:row r="20">
      <x:c r="B20" s="9"/>
      <x:c r="C20" s="9"/>
      <x:c r="D20" s="10"/>
      <x:c r="E20" s="10"/>
      <x:c r="F20" s="27">
        <x:f t="shared" si="0"/>
        <x:v>1678100</x:v>
      </x:c>
    </x:row>
    <x:row r="21">
      <x:c r="B21" s="9"/>
      <x:c r="C21" s="9"/>
      <x:c r="D21" s="10"/>
      <x:c r="E21" s="10"/>
      <x:c r="F21" s="27">
        <x:f t="shared" si="0"/>
        <x:v>1678100</x:v>
      </x:c>
    </x:row>
    <x:row r="22">
      <x:c r="B22" s="12"/>
      <x:c r="C22" s="12"/>
      <x:c r="D22" s="13"/>
      <x:c r="E22" s="13"/>
      <x:c r="F22" s="28">
        <x:f t="shared" si="0"/>
        <x:v>1678100</x:v>
      </x:c>
    </x:row>
    <x:row r="23">
      <x:c r="E23" s="2" t="n">
        <x:f>SUM(E11:E22)</x:f>
        <x:v>321900</x:v>
      </x:c>
    </x:row>
    <x:row r="25">
      <x:c r="B25" s="6" t="s">
        <x:v>13</x:v>
      </x:c>
      <x:c r="C25" s="6"/>
    </x:row>
    <x:row r="26">
      <x:c r="B26" s="7" t="s">
        <x:v>6</x:v>
      </x:c>
      <x:c r="C26" s="7" t="s">
        <x:v>7</x:v>
      </x:c>
      <x:c r="D26" s="8" t="s">
        <x:v>8</x:v>
      </x:c>
      <x:c r="E26" s="8" t="s">
        <x:v>9</x:v>
      </x:c>
      <x:c r="F26" s="29"/>
    </x:row>
    <x:row r="27">
      <x:c r="B27" s="14"/>
      <x:c r="C27" s="15"/>
      <x:c r="D27" s="16">
        <x:v>1000000</x:v>
      </x:c>
      <x:c r="E27" s="16"/>
      <x:c r="F27" s="30" t="n">
        <x:f>D27</x:f>
        <x:v>1000000</x:v>
      </x:c>
    </x:row>
    <x:row r="28">
      <x:c r="B28" s="14" t="s">
        <x:v>14</x:v>
      </x:c>
      <x:c r="C28" s="17">
        <x:v>46109</x:v>
      </x:c>
      <x:c r="D28" s="16"/>
      <x:c r="E28" s="16">
        <x:v>56000</x:v>
      </x:c>
      <x:c r="F28" s="30" t="n">
        <x:f t="shared" ref="F28:F38" si="1">F27+D28-E28</x:f>
        <x:v>944000</x:v>
      </x:c>
    </x:row>
    <x:row r="29">
      <x:c r="B29" s="14"/>
      <x:c r="C29" s="15"/>
      <x:c r="D29" s="16"/>
      <x:c r="E29" s="16"/>
      <x:c r="F29" s="30">
        <x:f t="shared" si="1"/>
        <x:v>944000</x:v>
      </x:c>
    </x:row>
    <x:row r="30">
      <x:c r="B30" s="14"/>
      <x:c r="C30" s="15"/>
      <x:c r="D30" s="16"/>
      <x:c r="E30" s="16"/>
      <x:c r="F30" s="30">
        <x:f t="shared" si="1"/>
        <x:v>944000</x:v>
      </x:c>
    </x:row>
    <x:row r="31">
      <x:c r="B31" s="14"/>
      <x:c r="C31" s="15"/>
      <x:c r="D31" s="16"/>
      <x:c r="E31" s="16"/>
      <x:c r="F31" s="30">
        <x:f t="shared" si="1"/>
        <x:v>944000</x:v>
      </x:c>
    </x:row>
    <x:row r="32">
      <x:c r="B32" s="14"/>
      <x:c r="C32" s="15"/>
      <x:c r="D32" s="16"/>
      <x:c r="E32" s="16"/>
      <x:c r="F32" s="30">
        <x:f t="shared" si="1"/>
        <x:v>944000</x:v>
      </x:c>
    </x:row>
    <x:row r="33">
      <x:c r="B33" s="14"/>
      <x:c r="C33" s="15"/>
      <x:c r="D33" s="16"/>
      <x:c r="E33" s="16"/>
      <x:c r="F33" s="30">
        <x:f t="shared" si="1"/>
        <x:v>944000</x:v>
      </x:c>
    </x:row>
    <x:row r="34">
      <x:c r="B34" s="14"/>
      <x:c r="C34" s="15"/>
      <x:c r="D34" s="16"/>
      <x:c r="E34" s="16"/>
      <x:c r="F34" s="30">
        <x:f t="shared" si="1"/>
        <x:v>944000</x:v>
      </x:c>
    </x:row>
    <x:row r="35">
      <x:c r="B35" s="14"/>
      <x:c r="C35" s="15"/>
      <x:c r="D35" s="16"/>
      <x:c r="E35" s="16"/>
      <x:c r="F35" s="30">
        <x:f t="shared" si="1"/>
        <x:v>944000</x:v>
      </x:c>
    </x:row>
    <x:row r="36">
      <x:c r="B36" s="14"/>
      <x:c r="C36" s="15"/>
      <x:c r="D36" s="16"/>
      <x:c r="E36" s="16"/>
      <x:c r="F36" s="30">
        <x:f t="shared" si="1"/>
        <x:v>944000</x:v>
      </x:c>
    </x:row>
    <x:row r="37">
      <x:c r="B37" s="14"/>
      <x:c r="C37" s="15"/>
      <x:c r="D37" s="16"/>
      <x:c r="E37" s="16"/>
      <x:c r="F37" s="30">
        <x:f t="shared" si="1"/>
        <x:v>944000</x:v>
      </x:c>
    </x:row>
    <x:row r="38">
      <x:c r="B38" s="18"/>
      <x:c r="C38" s="19"/>
      <x:c r="D38" s="20"/>
      <x:c r="E38" s="20"/>
      <x:c r="F38" s="31">
        <x:f t="shared" si="1"/>
        <x:v>944000</x:v>
      </x:c>
    </x:row>
    <x:row r="39">
      <x:c r="E39" s="2" t="n">
        <x:f>SUM(E27:E38)</x:f>
        <x:v>56000</x:v>
      </x:c>
    </x:row>
    <x:row r="41">
      <x:c r="B41" s="6" t="s">
        <x:v>15</x:v>
      </x:c>
      <x:c r="C41" s="6"/>
    </x:row>
    <x:row r="42">
      <x:c r="B42" s="21" t="s">
        <x:v>6</x:v>
      </x:c>
      <x:c r="C42" s="22" t="s">
        <x:v>7</x:v>
      </x:c>
      <x:c r="D42" s="23" t="s">
        <x:v>8</x:v>
      </x:c>
      <x:c r="E42" s="23" t="s">
        <x:v>9</x:v>
      </x:c>
      <x:c r="F42" s="32"/>
    </x:row>
    <x:row r="43">
      <x:c r="B43" s="14"/>
      <x:c r="C43" s="15"/>
      <x:c r="D43" s="16">
        <x:v>1200000</x:v>
      </x:c>
      <x:c r="E43" s="16"/>
      <x:c r="F43" s="30" t="n">
        <x:f>D43</x:f>
        <x:v>1200000</x:v>
      </x:c>
    </x:row>
    <x:row r="44">
      <x:c r="B44" s="14" t="s">
        <x:v>16</x:v>
      </x:c>
      <x:c r="C44" s="17">
        <x:v>46110</x:v>
      </x:c>
      <x:c r="D44" s="16"/>
      <x:c r="E44" s="16">
        <x:v>253000</x:v>
      </x:c>
      <x:c r="F44" s="30" t="n">
        <x:f t="shared" ref="F44:F54" si="2">F43+D44-E44</x:f>
        <x:v>947000</x:v>
      </x:c>
    </x:row>
    <x:row r="45">
      <x:c r="B45" s="14"/>
      <x:c r="C45" s="15"/>
      <x:c r="D45" s="16"/>
      <x:c r="E45" s="16"/>
      <x:c r="F45" s="30">
        <x:f t="shared" si="2"/>
        <x:v>947000</x:v>
      </x:c>
    </x:row>
    <x:row r="46">
      <x:c r="B46" s="14"/>
      <x:c r="C46" s="15"/>
      <x:c r="D46" s="16"/>
      <x:c r="E46" s="16"/>
      <x:c r="F46" s="30">
        <x:f t="shared" si="2"/>
        <x:v>947000</x:v>
      </x:c>
    </x:row>
    <x:row r="47">
      <x:c r="B47" s="14"/>
      <x:c r="C47" s="15"/>
      <x:c r="D47" s="16"/>
      <x:c r="E47" s="16"/>
      <x:c r="F47" s="30">
        <x:f t="shared" si="2"/>
        <x:v>947000</x:v>
      </x:c>
    </x:row>
    <x:row r="48">
      <x:c r="B48" s="14"/>
      <x:c r="C48" s="15"/>
      <x:c r="D48" s="16"/>
      <x:c r="E48" s="16"/>
      <x:c r="F48" s="30">
        <x:f t="shared" si="2"/>
        <x:v>947000</x:v>
      </x:c>
    </x:row>
    <x:row r="49">
      <x:c r="B49" s="14"/>
      <x:c r="C49" s="15"/>
      <x:c r="D49" s="16"/>
      <x:c r="E49" s="16"/>
      <x:c r="F49" s="30">
        <x:f t="shared" si="2"/>
        <x:v>947000</x:v>
      </x:c>
    </x:row>
    <x:row r="50">
      <x:c r="B50" s="14"/>
      <x:c r="C50" s="15"/>
      <x:c r="D50" s="16"/>
      <x:c r="E50" s="16"/>
      <x:c r="F50" s="30">
        <x:f t="shared" si="2"/>
        <x:v>947000</x:v>
      </x:c>
    </x:row>
    <x:row r="51">
      <x:c r="B51" s="14"/>
      <x:c r="C51" s="15"/>
      <x:c r="D51" s="16"/>
      <x:c r="E51" s="16"/>
      <x:c r="F51" s="30">
        <x:f t="shared" si="2"/>
        <x:v>947000</x:v>
      </x:c>
    </x:row>
    <x:row r="52">
      <x:c r="B52" s="14"/>
      <x:c r="C52" s="15"/>
      <x:c r="D52" s="16"/>
      <x:c r="E52" s="16"/>
      <x:c r="F52" s="30">
        <x:f t="shared" si="2"/>
        <x:v>947000</x:v>
      </x:c>
    </x:row>
    <x:row r="53">
      <x:c r="B53" s="14"/>
      <x:c r="C53" s="15"/>
      <x:c r="D53" s="16"/>
      <x:c r="E53" s="16"/>
      <x:c r="F53" s="30">
        <x:f t="shared" si="2"/>
        <x:v>947000</x:v>
      </x:c>
    </x:row>
    <x:row r="54">
      <x:c r="B54" s="18"/>
      <x:c r="C54" s="19"/>
      <x:c r="D54" s="20"/>
      <x:c r="E54" s="20"/>
      <x:c r="F54" s="31">
        <x:f t="shared" si="2"/>
        <x:v>947000</x:v>
      </x:c>
    </x:row>
    <x:row r="55">
      <x:c r="E55" s="2" t="n">
        <x:f>SUM(E43:E54)</x:f>
        <x:v>253000</x:v>
      </x:c>
    </x:row>
    <x:row r="57">
      <x:c r="B57" s="6" t="s">
        <x:v>17</x:v>
      </x:c>
      <x:c r="C57" s="6"/>
    </x:row>
    <x:row r="58">
      <x:c r="B58" s="7" t="s">
        <x:v>6</x:v>
      </x:c>
      <x:c r="C58" s="7" t="s">
        <x:v>7</x:v>
      </x:c>
      <x:c r="D58" s="8" t="s">
        <x:v>8</x:v>
      </x:c>
      <x:c r="E58" s="24" t="s">
        <x:v>9</x:v>
      </x:c>
      <x:c r="F58" s="32"/>
    </x:row>
    <x:row r="59">
      <x:c r="B59" s="9"/>
      <x:c r="C59" s="9"/>
      <x:c r="D59" s="10">
        <x:v>1000000</x:v>
      </x:c>
      <x:c r="E59" s="10"/>
      <x:c r="F59" s="27" t="n">
        <x:f>D59</x:f>
        <x:v>1000000</x:v>
      </x:c>
    </x:row>
    <x:row r="60">
      <x:c r="B60" s="9"/>
      <x:c r="C60" s="9"/>
      <x:c r="D60" s="10"/>
      <x:c r="E60" s="10"/>
      <x:c r="F60" s="27" t="n">
        <x:f t="shared" ref="F60:F70" si="3">F59+D60-E60</x:f>
        <x:v>1000000</x:v>
      </x:c>
    </x:row>
    <x:row r="61">
      <x:c r="B61" s="9"/>
      <x:c r="C61" s="9"/>
      <x:c r="D61" s="10"/>
      <x:c r="E61" s="10"/>
      <x:c r="F61" s="27">
        <x:f t="shared" si="3"/>
        <x:v>1000000</x:v>
      </x:c>
    </x:row>
    <x:row r="62">
      <x:c r="B62" s="9"/>
      <x:c r="C62" s="9"/>
      <x:c r="D62" s="10"/>
      <x:c r="E62" s="10"/>
      <x:c r="F62" s="27">
        <x:f t="shared" si="3"/>
        <x:v>1000000</x:v>
      </x:c>
    </x:row>
    <x:row r="63">
      <x:c r="B63" s="9"/>
      <x:c r="C63" s="9"/>
      <x:c r="D63" s="10"/>
      <x:c r="E63" s="10"/>
      <x:c r="F63" s="27">
        <x:f t="shared" si="3"/>
        <x:v>1000000</x:v>
      </x:c>
    </x:row>
    <x:row r="64">
      <x:c r="B64" s="9"/>
      <x:c r="C64" s="9"/>
      <x:c r="D64" s="10"/>
      <x:c r="E64" s="10"/>
      <x:c r="F64" s="27">
        <x:f t="shared" si="3"/>
        <x:v>1000000</x:v>
      </x:c>
    </x:row>
    <x:row r="65">
      <x:c r="B65" s="9"/>
      <x:c r="C65" s="9"/>
      <x:c r="D65" s="10"/>
      <x:c r="E65" s="10"/>
      <x:c r="F65" s="27">
        <x:f t="shared" si="3"/>
        <x:v>1000000</x:v>
      </x:c>
    </x:row>
    <x:row r="66">
      <x:c r="B66" s="9"/>
      <x:c r="C66" s="9"/>
      <x:c r="D66" s="10"/>
      <x:c r="E66" s="10"/>
      <x:c r="F66" s="27">
        <x:f t="shared" si="3"/>
        <x:v>1000000</x:v>
      </x:c>
    </x:row>
    <x:row r="67">
      <x:c r="B67" s="9"/>
      <x:c r="C67" s="9"/>
      <x:c r="D67" s="10"/>
      <x:c r="E67" s="10"/>
      <x:c r="F67" s="27">
        <x:f t="shared" si="3"/>
        <x:v>1000000</x:v>
      </x:c>
    </x:row>
    <x:row r="68">
      <x:c r="B68" s="9"/>
      <x:c r="C68" s="9"/>
      <x:c r="D68" s="10"/>
      <x:c r="E68" s="10"/>
      <x:c r="F68" s="27">
        <x:f t="shared" si="3"/>
        <x:v>1000000</x:v>
      </x:c>
    </x:row>
    <x:row r="69">
      <x:c r="B69" s="9"/>
      <x:c r="C69" s="9"/>
      <x:c r="D69" s="10"/>
      <x:c r="E69" s="10"/>
      <x:c r="F69" s="27">
        <x:f t="shared" si="3"/>
        <x:v>1000000</x:v>
      </x:c>
    </x:row>
    <x:row r="70">
      <x:c r="B70" s="12"/>
      <x:c r="C70" s="12"/>
      <x:c r="D70" s="13"/>
      <x:c r="E70" s="13"/>
      <x:c r="F70" s="28">
        <x:f t="shared" si="3"/>
        <x:v>1000000</x:v>
      </x:c>
    </x:row>
    <x:row r="71">
      <x:c r="E71" s="2" t="n">
        <x:f>SUM(E59:E70)</x:f>
        <x:v>0</x:v>
      </x:c>
    </x:row>
    <x:row r="73">
      <x:c r="B73" s="6" t="s">
        <x:v>18</x:v>
      </x:c>
      <x:c r="C73" s="6"/>
    </x:row>
    <x:row r="74">
      <x:c r="B74" s="33" t="s">
        <x:v>6</x:v>
      </x:c>
      <x:c r="C74" s="33" t="s">
        <x:v>7</x:v>
      </x:c>
      <x:c r="D74" s="34" t="s">
        <x:v>8</x:v>
      </x:c>
      <x:c r="E74" s="34" t="s">
        <x:v>9</x:v>
      </x:c>
      <x:c r="F74" s="26"/>
    </x:row>
    <x:row r="75">
      <x:c r="B75" s="35"/>
      <x:c r="C75" s="36"/>
      <x:c r="D75" s="37">
        <x:v>1000000</x:v>
      </x:c>
      <x:c r="E75" s="37"/>
      <x:c r="F75" s="25" t="n">
        <x:f>D75</x:f>
        <x:v>1000000</x:v>
      </x:c>
    </x:row>
    <x:row r="76">
      <x:c r="B76" s="14" t="s">
        <x:v>19</x:v>
      </x:c>
      <x:c r="C76" s="17">
        <x:v>46109</x:v>
      </x:c>
      <x:c r="D76" s="16"/>
      <x:c r="E76" s="16">
        <x:v>300000</x:v>
      </x:c>
      <x:c r="F76" s="30" t="n">
        <x:f t="shared" ref="F76:F86" si="4">F75+D76-E76</x:f>
        <x:v>700000</x:v>
      </x:c>
    </x:row>
    <x:row r="77">
      <x:c r="B77" s="14"/>
      <x:c r="C77" s="15"/>
      <x:c r="D77" s="16"/>
      <x:c r="E77" s="16"/>
      <x:c r="F77" s="30">
        <x:f t="shared" si="4"/>
        <x:v>700000</x:v>
      </x:c>
    </x:row>
    <x:row r="78">
      <x:c r="B78" s="14"/>
      <x:c r="C78" s="15"/>
      <x:c r="D78" s="16"/>
      <x:c r="E78" s="16"/>
      <x:c r="F78" s="30">
        <x:f t="shared" si="4"/>
        <x:v>700000</x:v>
      </x:c>
    </x:row>
    <x:row r="79">
      <x:c r="B79" s="14"/>
      <x:c r="C79" s="15"/>
      <x:c r="D79" s="16"/>
      <x:c r="E79" s="16"/>
      <x:c r="F79" s="30">
        <x:f t="shared" si="4"/>
        <x:v>700000</x:v>
      </x:c>
    </x:row>
    <x:row r="80">
      <x:c r="B80" s="14"/>
      <x:c r="C80" s="15"/>
      <x:c r="D80" s="16"/>
      <x:c r="E80" s="16"/>
      <x:c r="F80" s="30">
        <x:f t="shared" si="4"/>
        <x:v>700000</x:v>
      </x:c>
    </x:row>
    <x:row r="81">
      <x:c r="B81" s="14"/>
      <x:c r="C81" s="15"/>
      <x:c r="D81" s="16"/>
      <x:c r="E81" s="16"/>
      <x:c r="F81" s="30">
        <x:f t="shared" si="4"/>
        <x:v>700000</x:v>
      </x:c>
    </x:row>
    <x:row r="82">
      <x:c r="B82" s="14"/>
      <x:c r="C82" s="15"/>
      <x:c r="D82" s="16"/>
      <x:c r="E82" s="16"/>
      <x:c r="F82" s="30">
        <x:f t="shared" si="4"/>
        <x:v>700000</x:v>
      </x:c>
    </x:row>
    <x:row r="83">
      <x:c r="B83" s="14"/>
      <x:c r="C83" s="15"/>
      <x:c r="D83" s="16"/>
      <x:c r="E83" s="16"/>
      <x:c r="F83" s="30">
        <x:f t="shared" si="4"/>
        <x:v>700000</x:v>
      </x:c>
    </x:row>
    <x:row r="84">
      <x:c r="B84" s="14"/>
      <x:c r="C84" s="15"/>
      <x:c r="D84" s="16"/>
      <x:c r="E84" s="16"/>
      <x:c r="F84" s="30">
        <x:f t="shared" si="4"/>
        <x:v>700000</x:v>
      </x:c>
    </x:row>
    <x:row r="85">
      <x:c r="B85" s="14"/>
      <x:c r="C85" s="15"/>
      <x:c r="D85" s="16"/>
      <x:c r="E85" s="16"/>
      <x:c r="F85" s="30">
        <x:f t="shared" si="4"/>
        <x:v>700000</x:v>
      </x:c>
    </x:row>
    <x:row r="86">
      <x:c r="B86" s="18"/>
      <x:c r="C86" s="19"/>
      <x:c r="D86" s="20"/>
      <x:c r="E86" s="20"/>
      <x:c r="F86" s="31">
        <x:f t="shared" si="4"/>
        <x:v>700000</x:v>
      </x:c>
    </x:row>
    <x:row r="87">
      <x:c r="E87" s="2" t="n">
        <x:f>SUM(E75:E86)</x:f>
        <x:v>300000</x:v>
      </x:c>
    </x:row>
    <x:row r="89">
      <x:c r="B89" s="6" t="s">
        <x:v>20</x:v>
      </x:c>
      <x:c r="C89" s="6"/>
    </x:row>
    <x:row r="90">
      <x:c r="B90" s="33" t="s">
        <x:v>6</x:v>
      </x:c>
      <x:c r="C90" s="33" t="s">
        <x:v>7</x:v>
      </x:c>
      <x:c r="D90" s="34" t="s">
        <x:v>8</x:v>
      </x:c>
      <x:c r="E90" s="34" t="s">
        <x:v>9</x:v>
      </x:c>
      <x:c r="F90" s="29"/>
    </x:row>
    <x:row r="91">
      <x:c r="B91" s="35"/>
      <x:c r="C91" s="36"/>
      <x:c r="D91" s="37">
        <x:v>1300000</x:v>
      </x:c>
      <x:c r="E91" s="37"/>
      <x:c r="F91" s="30" t="n">
        <x:f>D91</x:f>
        <x:v>1300000</x:v>
      </x:c>
    </x:row>
    <x:row r="92">
      <x:c r="B92" s="14"/>
      <x:c r="C92" s="15"/>
      <x:c r="D92" s="16"/>
      <x:c r="E92" s="16"/>
      <x:c r="F92" s="30" t="n">
        <x:f t="shared" ref="F92:F96" si="5">F91+D92-E92</x:f>
        <x:v>1300000</x:v>
      </x:c>
    </x:row>
    <x:row r="93">
      <x:c r="B93" s="14"/>
      <x:c r="C93" s="15"/>
      <x:c r="D93" s="16"/>
      <x:c r="E93" s="16"/>
      <x:c r="F93" s="30">
        <x:f t="shared" si="5"/>
        <x:v>1300000</x:v>
      </x:c>
    </x:row>
    <x:row r="94">
      <x:c r="B94" s="14"/>
      <x:c r="C94" s="15"/>
      <x:c r="D94" s="16"/>
      <x:c r="E94" s="16"/>
      <x:c r="F94" s="30">
        <x:f t="shared" si="5"/>
        <x:v>1300000</x:v>
      </x:c>
    </x:row>
    <x:row r="95">
      <x:c r="B95" s="14"/>
      <x:c r="C95" s="15"/>
      <x:c r="D95" s="16"/>
      <x:c r="E95" s="16"/>
      <x:c r="F95" s="30">
        <x:f t="shared" si="5"/>
        <x:v>1300000</x:v>
      </x:c>
    </x:row>
    <x:row r="96">
      <x:c r="B96" s="18"/>
      <x:c r="C96" s="19"/>
      <x:c r="D96" s="20"/>
      <x:c r="E96" s="20"/>
      <x:c r="F96" s="31">
        <x:f t="shared" si="5"/>
        <x:v>1300000</x:v>
      </x:c>
    </x:row>
    <x:row r="97">
      <x:c r="E97" s="2" t="n">
        <x:f>SUM(E91:E96)</x:f>
        <x:v>0</x:v>
      </x:c>
    </x:row>
    <x:row r="99">
      <x:c r="B99" s="6" t="s">
        <x:v>21</x:v>
      </x:c>
      <x:c r="C99" s="6"/>
    </x:row>
    <x:row r="100">
      <x:c r="B100" s="33" t="s">
        <x:v>6</x:v>
      </x:c>
      <x:c r="C100" s="33" t="s">
        <x:v>7</x:v>
      </x:c>
      <x:c r="D100" s="34" t="s">
        <x:v>8</x:v>
      </x:c>
      <x:c r="E100" s="34" t="s">
        <x:v>9</x:v>
      </x:c>
      <x:c r="F100" s="26"/>
    </x:row>
    <x:row r="101">
      <x:c r="B101" s="35"/>
      <x:c r="C101" s="36"/>
      <x:c r="D101" s="37">
        <x:v>500000</x:v>
      </x:c>
      <x:c r="E101" s="37"/>
      <x:c r="F101" s="25" t="n">
        <x:f>D101</x:f>
        <x:v>500000</x:v>
      </x:c>
    </x:row>
    <x:row r="102">
      <x:c r="B102" s="14" t="s">
        <x:v>22</x:v>
      </x:c>
      <x:c r="C102" s="17">
        <x:v>46109</x:v>
      </x:c>
      <x:c r="D102" s="16"/>
      <x:c r="E102" s="16">
        <x:v>55000</x:v>
      </x:c>
      <x:c r="F102" s="30" t="n">
        <x:f t="shared" ref="F102:F107" si="6">F101+D102-E102</x:f>
        <x:v>445000</x:v>
      </x:c>
    </x:row>
    <x:row r="103">
      <x:c r="B103" s="14" t="s">
        <x:v>23</x:v>
      </x:c>
      <x:c r="C103" s="17">
        <x:v>46109</x:v>
      </x:c>
      <x:c r="D103" s="16"/>
      <x:c r="E103" s="16">
        <x:v>39000</x:v>
      </x:c>
      <x:c r="F103" s="30">
        <x:f t="shared" si="6"/>
        <x:v>406000</x:v>
      </x:c>
    </x:row>
    <x:row r="104">
      <x:c r="B104" s="14" t="s">
        <x:v>24</x:v>
      </x:c>
      <x:c r="C104" s="17">
        <x:v>46110</x:v>
      </x:c>
      <x:c r="D104" s="16"/>
      <x:c r="E104" s="16">
        <x:v>14000</x:v>
      </x:c>
      <x:c r="F104" s="30">
        <x:f t="shared" si="6"/>
        <x:v>392000</x:v>
      </x:c>
    </x:row>
    <x:row r="105">
      <x:c r="B105" s="14" t="s">
        <x:v>25</x:v>
      </x:c>
      <x:c r="C105" s="17">
        <x:v>46110</x:v>
      </x:c>
      <x:c r="D105" s="16"/>
      <x:c r="E105" s="16">
        <x:v>14000</x:v>
      </x:c>
      <x:c r="F105" s="30">
        <x:f t="shared" si="6"/>
        <x:v>378000</x:v>
      </x:c>
    </x:row>
    <x:row r="106">
      <x:c r="B106" s="14"/>
      <x:c r="C106" s="15"/>
      <x:c r="D106" s="16"/>
      <x:c r="E106" s="16"/>
      <x:c r="F106" s="30">
        <x:f t="shared" si="6"/>
        <x:v>378000</x:v>
      </x:c>
    </x:row>
    <x:row r="107">
      <x:c r="B107" s="14"/>
      <x:c r="C107" s="15"/>
      <x:c r="D107" s="16"/>
      <x:c r="E107" s="16"/>
      <x:c r="F107" s="30">
        <x:f t="shared" si="6"/>
        <x:v>378000</x:v>
      </x:c>
    </x:row>
    <x:row r="108">
      <x:c r="B108" s="14"/>
      <x:c r="C108" s="15"/>
      <x:c r="D108" s="16"/>
      <x:c r="E108" s="16"/>
      <x:c r="F108" s="30" t="n">
        <x:f>F104+D108-E108</x:f>
        <x:v>392000</x:v>
      </x:c>
    </x:row>
    <x:row r="109">
      <x:c r="B109" s="18"/>
      <x:c r="C109" s="19"/>
      <x:c r="D109" s="20"/>
      <x:c r="E109" s="20"/>
      <x:c r="F109" s="31" t="n">
        <x:f>F108+D109-E109</x:f>
        <x:v>392000</x:v>
      </x:c>
    </x:row>
    <x:row r="110">
      <x:c r="E110" s="2" t="n">
        <x:f>SUM(E101:E109)</x:f>
        <x:v>122000</x:v>
      </x:c>
    </x:row>
  </x:sheetData>
  <x:mergeCells>
    <x:mergeCell ref="B7:F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.642857551574707" defaultRowHeight="13.100000381469727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.642857551574707" defaultRowHeight="13.100000381469727"/>
  <x:sheetData/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2" hidden="0" customWidth="1"/>
    <x:col min="6" max="6" width="12" hidden="0" customWidth="1"/>
    <x:col min="7" max="7" width="14" hidden="0" customWidth="1"/>
    <x:col min="8" max="8" width="24" hidden="0" customWidth="1"/>
  </x:cols>
  <x:sheetData>
    <x:row r="1" ht="24" customHeight="1">
      <x:c r="A1" s="40" t="str">
        <x:v>Template kategori dan budget bulanan</x:v>
      </x:c>
      <x:c r="B1" s="40"/>
      <x:c r="C1" s="40"/>
      <x:c r="D1" s="40"/>
      <x:c r="E1" s="40"/>
      <x:c r="F1" s="40"/>
      <x:c r="G1" s="40"/>
      <x:c r="H1" s="40"/>
    </x:row>
    <x:row r="2" ht="24" customHeight="1">
      <x:c r="A2" s="43" t="str">
        <x:v>Kolom Budget Bulanan bisa diedit. Kolom Realisasi, Sisa Budget, dan % Terpakai akan terhitung otomatis.</x:v>
      </x:c>
      <x:c r="B2" s="43"/>
      <x:c r="C2" s="43"/>
      <x:c r="D2" s="43"/>
      <x:c r="E2" s="43"/>
      <x:c r="F2" s="43"/>
      <x:c r="G2" s="43"/>
      <x:c r="H2" s="43"/>
    </x:row>
    <x:row r="4">
      <x:c r="A4" s="46" t="str">
        <x:v>Ringkasan</x:v>
      </x:c>
      <x:c r="B4" s="46" t="str">
        <x:v>Nilai</x:v>
      </x:c>
    </x:row>
    <x:row r="5">
      <x:c r="A5" s="56" t="str">
        <x:v>Total Budget</x:v>
      </x:c>
      <x:c r="B5" s="52" t="n">
        <x:f>SUM(B11:B17)</x:f>
        <x:v>8000000</x:v>
      </x:c>
    </x:row>
    <x:row r="6">
      <x:c r="A6" s="56" t="str">
        <x:v>Total Realisasi</x:v>
      </x:c>
      <x:c r="B6" s="52" t="n">
        <x:f>SUM(C11:C17)</x:f>
        <x:v>1052900</x:v>
      </x:c>
    </x:row>
    <x:row r="7">
      <x:c r="A7" s="56" t="str">
        <x:v>Sisa / Selisih</x:v>
      </x:c>
      <x:c r="B7" s="52" t="n">
        <x:f>B5-B6</x:f>
        <x:v>6947100</x:v>
      </x:c>
    </x:row>
    <x:row r="10" ht="20" customHeight="1">
      <x:c r="A10" s="49" t="str">
        <x:v>Kategori</x:v>
      </x:c>
      <x:c r="B10" s="49" t="str">
        <x:v>Budget Bulanan</x:v>
      </x:c>
      <x:c r="C10" s="49" t="str">
        <x:v>Realisasi Maret 2026</x:v>
      </x:c>
      <x:c r="D10" s="49" t="str">
        <x:v>Sisa Budget</x:v>
      </x:c>
      <x:c r="E10" s="49" t="str">
        <x:v>% Terpakai</x:v>
      </x:c>
      <x:c r="F10" s="49" t="str">
        <x:v>Status</x:v>
      </x:c>
      <x:c r="G10" s="49" t="str">
        <x:v>Jenis</x:v>
      </x:c>
      <x:c r="H10" s="49" t="str">
        <x:v>Catatan</x:v>
      </x:c>
    </x:row>
    <x:row r="11">
      <x:c r="A11" s="56" t="str">
        <x:v>Dapur</x:v>
      </x:c>
      <x:c r="B11" s="57" t="n">
        <x:f>'Maret 2026'!D11</x:f>
        <x:v>2000000</x:v>
      </x:c>
      <x:c r="C11" s="57" t="n">
        <x:f>'Maret 2026'!E23</x:f>
        <x:v>321900</x:v>
      </x:c>
      <x:c r="D11" s="57" t="n">
        <x:f>B11-C11</x:f>
        <x:v>1678100</x:v>
      </x:c>
      <x:c r="E11" s="58" t="n">
        <x:f>IFERROR(C11/B11,0)</x:f>
        <x:v>0.16095</x:v>
      </x:c>
      <x:c r="F11" s="63" t="str">
        <x:f>IF(B11=0,"Belum diisi",IF(E11&gt;1,"Over",IF(E11&gt;=0.9,"Mepet",IF(E11&gt;=0.75,"Aman tapi tinggi","Aman"))))</x:f>
        <x:v>Aman</x:v>
      </x:c>
      <x:c r="G11" s="63" t="str">
        <x:v>Kebutuhan</x:v>
      </x:c>
      <x:c r="H11" s="56" t="str"/>
    </x:row>
    <x:row r="12">
      <x:c r="A12" s="56" t="str">
        <x:v>Jajan Mama</x:v>
      </x:c>
      <x:c r="B12" s="57" t="n">
        <x:f>'Maret 2026'!D27</x:f>
        <x:v>1000000</x:v>
      </x:c>
      <x:c r="C12" s="57" t="n">
        <x:f>'Maret 2026'!E39</x:f>
        <x:v>56000</x:v>
      </x:c>
      <x:c r="D12" s="57" t="n">
        <x:f>B12-C12</x:f>
        <x:v>944000</x:v>
      </x:c>
      <x:c r="E12" s="58" t="n">
        <x:f>IFERROR(C12/B12,0)</x:f>
        <x:v>0.056</x:v>
      </x:c>
      <x:c r="F12" s="63" t="str">
        <x:f>IF(B12=0,"Belum diisi",IF(E12&gt;1,"Over",IF(E12&gt;=0.9,"Mepet",IF(E12&gt;=0.75,"Aman tapi tinggi","Aman"))))</x:f>
        <x:v>Aman</x:v>
      </x:c>
      <x:c r="G12" s="63" t="str">
        <x:v>Keinginan</x:v>
      </x:c>
      <x:c r="H12" s="56" t="str"/>
    </x:row>
    <x:row r="13">
      <x:c r="A13" s="56" t="str">
        <x:v>Anak</x:v>
      </x:c>
      <x:c r="B13" s="57" t="n">
        <x:f>'Maret 2026'!D43</x:f>
        <x:v>1200000</x:v>
      </x:c>
      <x:c r="C13" s="57" t="n">
        <x:f>'Maret 2026'!E55</x:f>
        <x:v>253000</x:v>
      </x:c>
      <x:c r="D13" s="57" t="n">
        <x:f>B13-C13</x:f>
        <x:v>947000</x:v>
      </x:c>
      <x:c r="E13" s="58" t="n">
        <x:f>IFERROR(C13/B13,0)</x:f>
        <x:v>0.21083333333333334</x:v>
      </x:c>
      <x:c r="F13" s="63" t="str">
        <x:f>IF(B13=0,"Belum diisi",IF(E13&gt;1,"Over",IF(E13&gt;=0.9,"Mepet",IF(E13&gt;=0.75,"Aman tapi tinggi","Aman"))))</x:f>
        <x:v>Aman</x:v>
      </x:c>
      <x:c r="G13" s="63" t="str">
        <x:v>Kebutuhan</x:v>
      </x:c>
      <x:c r="H13" s="56" t="str"/>
    </x:row>
    <x:row r="14">
      <x:c r="A14" s="56" t="str">
        <x:v>Orang Tua Mama</x:v>
      </x:c>
      <x:c r="B14" s="57" t="n">
        <x:f>'Maret 2026'!D59</x:f>
        <x:v>1000000</x:v>
      </x:c>
      <x:c r="C14" s="57" t="n">
        <x:f>'Maret 2026'!E71</x:f>
        <x:v>0</x:v>
      </x:c>
      <x:c r="D14" s="57" t="n">
        <x:f>B14-C14</x:f>
        <x:v>1000000</x:v>
      </x:c>
      <x:c r="E14" s="58" t="n">
        <x:f>IFERROR(C14/B14,0)</x:f>
        <x:v>0</x:v>
      </x:c>
      <x:c r="F14" s="63" t="str">
        <x:f>IF(B14=0,"Belum diisi",IF(E14&gt;1,"Over",IF(E14&gt;=0.9,"Mepet",IF(E14&gt;=0.75,"Aman tapi tinggi","Aman"))))</x:f>
        <x:v>Aman</x:v>
      </x:c>
      <x:c r="G14" s="63" t="str">
        <x:v>Keluarga</x:v>
      </x:c>
      <x:c r="H14" s="56" t="str"/>
    </x:row>
    <x:row r="15">
      <x:c r="A15" s="56" t="str">
        <x:v>Bensin + tol</x:v>
      </x:c>
      <x:c r="B15" s="57" t="n">
        <x:f>'Maret 2026'!D75</x:f>
        <x:v>1000000</x:v>
      </x:c>
      <x:c r="C15" s="57" t="n">
        <x:f>'Maret 2026'!E87</x:f>
        <x:v>300000</x:v>
      </x:c>
      <x:c r="D15" s="57" t="n">
        <x:f>B15-C15</x:f>
        <x:v>700000</x:v>
      </x:c>
      <x:c r="E15" s="58" t="n">
        <x:f>IFERROR(C15/B15,0)</x:f>
        <x:v>0.3</x:v>
      </x:c>
      <x:c r="F15" s="63" t="str">
        <x:f>IF(B15=0,"Belum diisi",IF(E15&gt;1,"Over",IF(E15&gt;=0.9,"Mepet",IF(E15&gt;=0.75,"Aman tapi tinggi","Aman"))))</x:f>
        <x:v>Aman</x:v>
      </x:c>
      <x:c r="G15" s="63" t="str">
        <x:v>Transport</x:v>
      </x:c>
      <x:c r="H15" s="56" t="str"/>
    </x:row>
    <x:row r="16">
      <x:c r="A16" s="56" t="str">
        <x:v>ART</x:v>
      </x:c>
      <x:c r="B16" s="57" t="n">
        <x:f>'Maret 2026'!D91</x:f>
        <x:v>1300000</x:v>
      </x:c>
      <x:c r="C16" s="57" t="n">
        <x:f>'Maret 2026'!E97</x:f>
        <x:v>0</x:v>
      </x:c>
      <x:c r="D16" s="57" t="n">
        <x:f>B16-C16</x:f>
        <x:v>1300000</x:v>
      </x:c>
      <x:c r="E16" s="58" t="n">
        <x:f>IFERROR(C16/B16,0)</x:f>
        <x:v>0</x:v>
      </x:c>
      <x:c r="F16" s="63" t="str">
        <x:f>IF(B16=0,"Belum diisi",IF(E16&gt;1,"Over",IF(E16&gt;=0.9,"Mepet",IF(E16&gt;=0.75,"Aman tapi tinggi","Aman"))))</x:f>
        <x:v>Aman</x:v>
      </x:c>
      <x:c r="G16" s="63" t="str">
        <x:v>Rumah</x:v>
      </x:c>
      <x:c r="H16" s="56" t="str"/>
    </x:row>
    <x:row r="17">
      <x:c r="A17" s="56" t="str">
        <x:v>Jajan Bareng</x:v>
      </x:c>
      <x:c r="B17" s="57" t="n">
        <x:f>'Maret 2026'!D101</x:f>
        <x:v>500000</x:v>
      </x:c>
      <x:c r="C17" s="57" t="n">
        <x:f>'Maret 2026'!E110</x:f>
        <x:v>122000</x:v>
      </x:c>
      <x:c r="D17" s="57" t="n">
        <x:f>B17-C17</x:f>
        <x:v>378000</x:v>
      </x:c>
      <x:c r="E17" s="58" t="n">
        <x:f>IFERROR(C17/B17,0)</x:f>
        <x:v>0.244</x:v>
      </x:c>
      <x:c r="F17" s="63" t="str">
        <x:f>IF(B17=0,"Belum diisi",IF(E17&gt;1,"Over",IF(E17&gt;=0.9,"Mepet",IF(E17&gt;=0.75,"Aman tapi tinggi","Aman"))))</x:f>
        <x:v>Aman</x:v>
      </x:c>
      <x:c r="G17" s="63" t="str">
        <x:v>Sosial</x:v>
      </x:c>
      <x:c r="H17" s="56" t="str"/>
    </x:row>
    <x:row r="18">
      <x:c r="A18" s="51" t="str">
        <x:v>TOTAL</x:v>
      </x:c>
      <x:c r="B18" s="60" t="n">
        <x:f>SUM(B11:B17)</x:f>
        <x:v>8000000</x:v>
      </x:c>
      <x:c r="C18" s="60" t="n">
        <x:f>SUM(C11:C17)</x:f>
        <x:v>1052900</x:v>
      </x:c>
      <x:c r="D18" s="60" t="n">
        <x:f>SUM(D11:D17)</x:f>
        <x:v>6947100</x:v>
      </x:c>
      <x:c r="E18" s="61" t="n">
        <x:f>IFERROR(C18/B18,0)</x:f>
        <x:v>0.1316125</x:v>
      </x:c>
      <x:c r="F18" s="62" t="str"/>
      <x:c r="G18" s="51" t="str"/>
      <x:c r="H18" s="51" t="str"/>
    </x:row>
  </x:sheetData>
  <x:mergeCells>
    <x:mergeCell ref="A1:H1"/>
    <x:mergeCell ref="A2:H2"/>
  </x:mergeCells>
  <x:conditionalFormatting sqref="E11:E17">
    <x:cfRule type="colorScale" priority="1">
      <x:colorScale>
        <x:cfvo type="min"/>
        <x:cfvo type="percentile" val="50"/>
        <x:cfvo type="max"/>
        <x:color rgb="C6EFCE"/>
        <x:color rgb="FFEB9C"/>
        <x:color rgb="F4CCCC"/>
      </x:colorScale>
    </x:cfRule>
  </x:conditionalFormatting>
  <x:conditionalFormatting sqref="F11:F17">
    <x:cfRule type="expression" dxfId="0" priority="2">
      <x:formula>F11="Over"</x:formula>
    </x:cfRule>
    <x:cfRule type="expression" dxfId="1" priority="3">
      <x:formula>F11="Mepet"</x:formula>
    </x:cfRule>
  </x:conditionalFormatting>
  <x:dataValidations count="1">
    <x:dataValidation type="list" sqref="G11:G17">
      <x:formula1>"Kebutuhan,Keinginan,Transport,Rumah,Keluarga,Sosial,Lainnya"</x:formula1>
    </x:dataValidation>
  </x:dataValidations>
  <x:pageMargins left="0.7" right="0.7" top="0.75" bottom="0.75" header="0.3" footer="0.3"/>
  <x:drawing xmlns:r="http://schemas.openxmlformats.org/officeDocument/2006/relationships" r:id="Rf175cf734a714bb3"/>
</x:worksheet>
</file>